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éléchargements\"/>
    </mc:Choice>
  </mc:AlternateContent>
  <xr:revisionPtr revIDLastSave="0" documentId="13_ncr:1_{2A9FEA5F-EC56-42CF-B902-4FCF4C12E8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Segment_Education">#N/A</definedName>
    <definedName name="Segment_Marital_Status">#N/A</definedName>
    <definedName name="Segment_Region">#N/A</definedName>
  </definedNames>
  <calcPr calcId="191029"/>
  <pivotCaches>
    <pivotCache cacheId="1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<sst xmlns="http://schemas.openxmlformats.org/spreadsheetml/2006/main" count="16274" uniqueCount="51">
  <si>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</si>
  <si>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</si>
  <si>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</si>
  <si>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</si>
  <si>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</si>
  <si>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</si>
  <si>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</si>
  <si>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</si>
  <si>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</si>
  <si>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</si>
  <si>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</si>
  <si>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</si>
  <si>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</si>
  <si>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</si>
  <si>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</si>
  <si>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</si>
  <si>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</si>
  <si>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</si>
  <si>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</si>
  <si>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</si>
  <si>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</si>
  <si>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</si>
  <si>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</si>
  <si>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</si>
  <si>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</si>
  <si>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</si>
  <si>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</si>
  <si>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</si>
  <si>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</si>
  <si>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</si>
  <si>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</si>
  <si>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</si>
  <si>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</si>
  <si>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</si>
  <si>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</si>
  <si>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</si>
  <si>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</si>
  <si>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</si>
  <si>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</si>
  <si>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</si>
  <si>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</si>
  <si>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Étiquettes de lignes</t>
  </si>
  <si>
    <t>Total général</t>
  </si>
  <si>
    <t>Étiquettes de colonnes</t>
  </si>
  <si>
    <t xml:space="preserve"> </t>
  </si>
  <si>
    <t>Nombre de Purchased Bike</t>
  </si>
  <si>
    <t>More than 10 Miles</t>
  </si>
  <si>
    <t>Adult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</si>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</sst>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\ &quot;€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quotePrefix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33" borderId="0" xfId="0" applyFill="1"/>
    <xf numFmtId="0" fontId="19" fillId="33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Dataset.xlsx]Pivot Table!Tableau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Avg</a:t>
            </a:r>
            <a:r>
              <a:rPr lang="fr-FR" baseline="0"/>
              <a:t> Income Per Purchase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E-47FC-B890-67101358ADE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2E-47FC-B890-67101358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286464"/>
        <c:axId val="1378276896"/>
      </c:barChart>
      <c:catAx>
        <c:axId val="13782864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276896"/>
        <c:crosses val="autoZero"/>
        <c:auto val="1"/>
        <c:lblAlgn val="ctr"/>
        <c:lblOffset val="100"/>
        <c:noMultiLvlLbl val="0"/>
      </c:catAx>
      <c:valAx>
        <c:axId val="13782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286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Dataset.xlsx]Pivot Table!Tableau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Commute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1-4506-ACEE-64A8D9F95E6A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1-4506-ACEE-64A8D9F95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425232"/>
        <c:axId val="1389856800"/>
      </c:lineChart>
      <c:catAx>
        <c:axId val="132742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Commute</a:t>
                </a:r>
                <a:r>
                  <a:rPr lang="fr-FR" baseline="0"/>
                  <a:t> Distance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856800"/>
        <c:crosses val="autoZero"/>
        <c:auto val="1"/>
        <c:lblAlgn val="ctr"/>
        <c:lblOffset val="100"/>
        <c:noMultiLvlLbl val="0"/>
      </c:catAx>
      <c:valAx>
        <c:axId val="13898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742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Dataset.xlsx]Pivot Table!Tableau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 Age Brackets</a:t>
            </a:r>
            <a:endParaRPr lang="fr-FR"/>
          </a:p>
        </c:rich>
      </c:tx>
      <c:layout>
        <c:manualLayout>
          <c:xMode val="edge"/>
          <c:yMode val="edge"/>
          <c:x val="0.39360149629390162"/>
          <c:y val="1.8450119349570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469816272965882E-2"/>
          <c:y val="0.13323855351414407"/>
          <c:w val="0.6735301837270341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Table'!$B$42:$B$43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Table'!$A$44:$A$47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Table'!$B$44:$B$47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F-4245-BDC0-B3E2232EB68D}"/>
            </c:ext>
          </c:extLst>
        </c:ser>
        <c:ser>
          <c:idx val="1"/>
          <c:order val="1"/>
          <c:tx>
            <c:strRef>
              <c:f>'Pivot Table'!$C$42:$C$43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Table'!$A$44:$A$47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Table'!$C$44:$C$47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F-4245-BDC0-B3E2232EB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772624"/>
        <c:axId val="1390771376"/>
      </c:lineChart>
      <c:catAx>
        <c:axId val="139077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</a:t>
                </a:r>
                <a:r>
                  <a:rPr lang="fr-FR" baseline="0"/>
                  <a:t> Bracket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771376"/>
        <c:crosses val="autoZero"/>
        <c:auto val="1"/>
        <c:lblAlgn val="ctr"/>
        <c:lblOffset val="100"/>
        <c:noMultiLvlLbl val="0"/>
      </c:catAx>
      <c:valAx>
        <c:axId val="13907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7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Dataset.xlsx]Pivot Table!Tableau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Avg</a:t>
            </a:r>
            <a:r>
              <a:rPr lang="fr-FR" baseline="0"/>
              <a:t> Income Per Purchase</a:t>
            </a:r>
            <a:endParaRPr lang="fr-FR"/>
          </a:p>
        </c:rich>
      </c:tx>
      <c:layout>
        <c:manualLayout>
          <c:xMode val="edge"/>
          <c:yMode val="edge"/>
          <c:x val="0.2778448056896114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7-449E-9E33-A4CE2F056B5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7-449E-9E33-A4CE2F056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286464"/>
        <c:axId val="1378276896"/>
      </c:barChart>
      <c:catAx>
        <c:axId val="13782864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276896"/>
        <c:crosses val="autoZero"/>
        <c:auto val="1"/>
        <c:lblAlgn val="ctr"/>
        <c:lblOffset val="100"/>
        <c:noMultiLvlLbl val="0"/>
      </c:catAx>
      <c:valAx>
        <c:axId val="137827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8286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Dataset.xlsx]Pivot Table!Tableau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Commute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7-4B36-B113-F79BF20515EC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7-4B36-B113-F79BF2051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425232"/>
        <c:axId val="1389856800"/>
      </c:lineChart>
      <c:catAx>
        <c:axId val="132742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Commute</a:t>
                </a:r>
                <a:r>
                  <a:rPr lang="fr-FR" baseline="0"/>
                  <a:t> Distance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856800"/>
        <c:crosses val="autoZero"/>
        <c:auto val="1"/>
        <c:lblAlgn val="ctr"/>
        <c:lblOffset val="100"/>
        <c:noMultiLvlLbl val="0"/>
      </c:catAx>
      <c:valAx>
        <c:axId val="13898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742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Dataset.xlsx]Pivot Table!Tableau croisé dynamique3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 Age Brackets</a:t>
            </a:r>
            <a:endParaRPr lang="fr-FR"/>
          </a:p>
        </c:rich>
      </c:tx>
      <c:layout>
        <c:manualLayout>
          <c:xMode val="edge"/>
          <c:yMode val="edge"/>
          <c:x val="0.39360149629390162"/>
          <c:y val="1.8450119349570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469816272965882E-2"/>
          <c:y val="0.13323855351414407"/>
          <c:w val="0.6735301837270341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Table'!$B$42:$B$43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Table'!$A$44:$A$47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Table'!$B$44:$B$47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E-4EEF-A9EB-CDE0295B1A34}"/>
            </c:ext>
          </c:extLst>
        </c:ser>
        <c:ser>
          <c:idx val="1"/>
          <c:order val="1"/>
          <c:tx>
            <c:strRef>
              <c:f>'Pivot Table'!$C$42:$C$43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Table'!$A$44:$A$47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Table'!$C$44:$C$47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E-4EEF-A9EB-CDE0295B1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772624"/>
        <c:axId val="1390771376"/>
      </c:lineChart>
      <c:catAx>
        <c:axId val="139077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</a:t>
                </a:r>
                <a:r>
                  <a:rPr lang="fr-FR" baseline="0"/>
                  <a:t> Bracket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771376"/>
        <c:crosses val="autoZero"/>
        <c:auto val="1"/>
        <c:lblAlgn val="ctr"/>
        <c:lblOffset val="100"/>
        <c:noMultiLvlLbl val="0"/>
      </c:catAx>
      <c:valAx>
        <c:axId val="13907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7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3</xdr:row>
      <xdr:rowOff>80010</xdr:rowOff>
    </xdr:from>
    <xdr:to>
      <xdr:col>10</xdr:col>
      <xdr:colOff>15240</xdr:colOff>
      <xdr:row>18</xdr:row>
      <xdr:rowOff>80010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4BB8427-B7D6-4A31-ACB3-E61C4391B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525780</xdr:colOff>
      <xdr:row>22</xdr:row>
      <xdr:rowOff>3810</xdr:rowOff>
    </xdr:from>
    <xdr:to>
      <xdr:col>10</xdr:col>
      <xdr:colOff>662940</xdr:colOff>
      <xdr:row>37</xdr:row>
      <xdr:rowOff>3810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1766CA8-1F55-47CB-9AD3-01DE9DD8F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289560</xdr:colOff>
      <xdr:row>39</xdr:row>
      <xdr:rowOff>7620</xdr:rowOff>
    </xdr:from>
    <xdr:to>
      <xdr:col>11</xdr:col>
      <xdr:colOff>259080</xdr:colOff>
      <xdr:row>55</xdr:row>
      <xdr:rowOff>26670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DD082B4-DBE9-4F2C-8DC1-045B3ABB5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594360</xdr:colOff>
      <xdr:row>6</xdr:row>
      <xdr:rowOff>22860</xdr:rowOff>
    </xdr:from>
    <xdr:to>
      <xdr:col>6</xdr:col>
      <xdr:colOff>411480</xdr:colOff>
      <xdr:row>21</xdr:row>
      <xdr:rowOff>68580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BCA7DB0-E06B-4FD5-BBD9-8D8C1C3C4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594360</xdr:colOff>
      <xdr:row>21</xdr:row>
      <xdr:rowOff>129540</xdr:rowOff>
    </xdr:from>
    <xdr:to>
      <xdr:col>12</xdr:col>
      <xdr:colOff>7620</xdr:colOff>
      <xdr:row>36</xdr:row>
      <xdr:rowOff>129540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1FAB608-0E89-413E-A37A-68F9A4E07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457200</xdr:colOff>
      <xdr:row>6</xdr:row>
      <xdr:rowOff>22860</xdr:rowOff>
    </xdr:from>
    <xdr:to>
      <xdr:col>12</xdr:col>
      <xdr:colOff>7620</xdr:colOff>
      <xdr:row>21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462ECA8-7443-4264-86A5-8548D6655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45721</xdr:rowOff>
    </xdr:from>
    <xdr:to>
      <xdr:col>1</xdr:col>
      <xdr:colOff>601980</xdr:colOff>
      <xdr:row>11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2FCAC9A2-9A5E-427B-B769-3DA6804B29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127269"/>
              <a:ext cx="1389134" cy="901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15240</xdr:colOff>
      <xdr:row>18</xdr:row>
      <xdr:rowOff>15241</xdr:rowOff>
    </xdr:from>
    <xdr:to>
      <xdr:col>1</xdr:col>
      <xdr:colOff>594360</xdr:colOff>
      <xdr:row>27</xdr:row>
      <xdr:rowOff>60961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8541E67A-4050-43DD-A4AC-D6572163B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3259886"/>
              <a:ext cx="1373894" cy="16680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11</xdr:row>
      <xdr:rowOff>45721</xdr:rowOff>
    </xdr:from>
    <xdr:to>
      <xdr:col>1</xdr:col>
      <xdr:colOff>594360</xdr:colOff>
      <xdr:row>17</xdr:row>
      <xdr:rowOff>167641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6A7C236C-F41D-49C6-AD51-9A6CA38898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028560"/>
              <a:ext cx="1381514" cy="12034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5.602705902777" createdVersion="7" refreshedVersion="7" minRefreshableVersion="3" recordCount="1000" xr:uid="{1E53F6F9-C88D-4A98-B467-ECDAAE2D57B3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ul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7279983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A6DEA-95E2-4605-AF19-AD7F517C1FEC}" name="Tableau croisé dynamique4" cacheId="1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63:D118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9B823-E8D7-45B1-B2A1-30541757F261}" name="Tableau croisé dynamique3" cacheId="1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42:D4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3A852-6C52-4E27-91E1-11302F144211}" name="Tableau croisé dynamique2" cacheId="1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23:D30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476E1-8D5C-4846-95D8-8ABA7B768B24}" name="Tableau croisé dynamique1" cacheId="19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 " fld="3" subtotal="average" baseField="2" baseItem="0" numFmtId="2"/>
  </dataFields>
  <formats count="1">
    <format dxfId="1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rital_Status" xr10:uid="{A04786F3-6F12-458C-A44D-D74C442666B5}" sourceName="Marital Status">
  <pivotTables>
    <pivotTable tabId="3" name="Tableau croisé dynamique1"/>
    <pivotTable tabId="3" name="Tableau croisé dynamique2"/>
    <pivotTable tabId="3" name="Tableau croisé dynamique3"/>
  </pivotTables>
  <data>
    <tabular pivotCacheId="72799835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ducation" xr10:uid="{78E4CD58-568B-4678-853A-078DCE3DE879}" sourceName="Education">
  <pivotTables>
    <pivotTable tabId="3" name="Tableau croisé dynamique1"/>
  </pivotTables>
  <data>
    <tabular pivotCacheId="727998357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247F7417-D568-4553-A3C0-A2AD753792C8}" sourceName="Region">
  <pivotTables>
    <pivotTable tabId="3" name="Tableau croisé dynamique1"/>
  </pivotTables>
  <data>
    <tabular pivotCacheId="727998357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C54C3863-8A78-4B2F-8D01-7AC9F0538AD3}" cache="Segment_Marital_Status" caption="Marital Status" rowHeight="234950"/>
  <slicer name="Education" xr10:uid="{E6C50BD5-B887-429E-B1B0-D4C21B4F686A}" cache="Segment_Education" caption="Education" rowHeight="234950"/>
  <slicer name="Region" xr10:uid="{4A6FDB55-2015-47CE-ACA5-6E37383AC8C5}" cache="Segment_Region" caption="Region" rowHeight="23495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baseColWidth="10"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516-2608-4CD1-A299-6CAA85765975}">
  <dimension ref="A1:N1001"/>
  <sheetViews>
    <sheetView workbookViewId="0"/>
  </sheetViews>
  <sheetFormatPr baseColWidth="10" defaultColWidth="11.88671875" defaultRowHeight="14.4" x14ac:dyDescent="0.3"/>
  <cols>
    <col min="1" max="1" width="21.33203125" customWidth="1"/>
    <col min="2" max="2" width="22.77734375" customWidth="1"/>
    <col min="3" max="3" width="20" customWidth="1"/>
    <col min="4" max="4" width="19" style="3" customWidth="1"/>
    <col min="6" max="6" width="23.5546875" customWidth="1"/>
    <col min="7" max="7" width="22" customWidth="1"/>
    <col min="8" max="8" width="16.88671875" customWidth="1"/>
    <col min="10" max="10" width="27.21875" customWidth="1"/>
    <col min="13" max="13" width="19.21875" customWidth="1"/>
    <col min="14" max="14" width="26.44140625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s="4" t="str">
        <f>IF(L2&gt;55,"Old",IF(L2 &gt;=31,"Middle age",  IF(L2&lt;31,"Adult", 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s="4" t="str">
        <f t="shared" ref="M3:M66" si="0">IF(L3&gt;55,"Old",IF(L3 &gt;=31,"Middle age",  IF(L3&lt;31,"Adult", 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s="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s="4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s="4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s="4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s="4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s="4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s="4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s="4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s="4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s="4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s="4" t="str">
        <f t="shared" si="0"/>
        <v>Middle age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s="4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s="4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s="4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s="4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s="4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s="4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s="4" t="str">
        <f t="shared" si="0"/>
        <v>Middle age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s="4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s="4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s="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s="4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s="4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s="4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s="4" t="str">
        <f t="shared" si="0"/>
        <v>Adult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s="4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s="4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s="4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s="4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s="4" t="str">
        <f t="shared" si="0"/>
        <v>Adult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s="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s="4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s="4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s="4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s="4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s="4" t="str">
        <f t="shared" si="0"/>
        <v>Adult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s="4" t="str">
        <f t="shared" si="0"/>
        <v>Adult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s="4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s="4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s="4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s="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s="4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s="4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s="4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s="4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s="4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s="4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s="4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s="4" t="str">
        <f t="shared" si="0"/>
        <v>Adult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s="4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s="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s="4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s="4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s="4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s="4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s="4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s="4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s="4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s="4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s="4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s="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s="4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s="4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s="4" t="str">
        <f t="shared" ref="M67:M130" si="1">IF(L67&gt;55,"Old",IF(L67 &gt;=31,"Middle age",  IF(L67&lt;31,"Adult", 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s="4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s="4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s="4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s="4" t="str">
        <f t="shared" si="1"/>
        <v>Adult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s="4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s="4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s="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s="4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s="4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s="4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s="4" t="str">
        <f t="shared" si="1"/>
        <v>Adult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s="4" t="str">
        <f t="shared" si="1"/>
        <v>Adult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s="4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s="4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s="4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s="4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s="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s="4" t="str">
        <f t="shared" si="1"/>
        <v>Adult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s="4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s="4" t="str">
        <f t="shared" si="1"/>
        <v>Adult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s="4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s="4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s="4" t="str">
        <f t="shared" si="1"/>
        <v>Adult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s="4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s="4" t="str">
        <f t="shared" si="1"/>
        <v>Adult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s="4" t="str">
        <f t="shared" si="1"/>
        <v>Adult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s="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s="4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s="4" t="str">
        <f t="shared" si="1"/>
        <v>Middle age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s="4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s="4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s="4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s="4" t="str">
        <f t="shared" si="1"/>
        <v>Adult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s="4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s="4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s="4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s="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s="4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s="4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s="4" t="str">
        <f t="shared" si="1"/>
        <v>Adult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s="4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s="4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s="4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s="4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s="4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s="4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s="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s="4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s="4" t="str">
        <f t="shared" si="1"/>
        <v>Adult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s="4" t="str">
        <f t="shared" si="1"/>
        <v>Adult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s="4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s="4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s="4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s="4" t="str">
        <f t="shared" si="1"/>
        <v>Adult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s="4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s="4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s="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s="4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s="4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s="4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s="4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s="4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s="4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s="4" t="str">
        <f t="shared" ref="M131:M194" si="2">IF(L131&gt;55,"Old",IF(L131 &gt;=31,"Middle age",  IF(L131&lt;31,"Adult", 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s="4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s="4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s="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s="4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s="4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s="4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s="4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s="4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s="4" t="str">
        <f t="shared" si="2"/>
        <v>Middle age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s="4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s="4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s="4" t="str">
        <f t="shared" si="2"/>
        <v>Adult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s="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s="4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s="4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s="4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s="4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s="4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s="4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s="4" t="str">
        <f t="shared" si="2"/>
        <v>Adult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s="4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s="4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s="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s="4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s="4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s="4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s="4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s="4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s="4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s="4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s="4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s="4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s="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s="4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s="4" t="str">
        <f t="shared" si="2"/>
        <v>Adult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s="4" t="str">
        <f t="shared" si="2"/>
        <v>Adult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s="4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s="4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s="4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s="4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s="4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s="4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s="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s="4" t="str">
        <f t="shared" si="2"/>
        <v>Adult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s="4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s="4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s="4" t="str">
        <f t="shared" si="2"/>
        <v>Adult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s="4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s="4" t="str">
        <f t="shared" si="2"/>
        <v>Middle age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s="4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s="4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s="4" t="str">
        <f t="shared" si="2"/>
        <v>Middle age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s="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s="4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s="4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s="4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s="4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s="4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s="4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s="4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s="4" t="str">
        <f t="shared" si="2"/>
        <v>Middle age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s="4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s="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s="4" t="str">
        <f t="shared" ref="M195:M258" si="3">IF(L195&gt;55,"Old",IF(L195 &gt;=31,"Middle age",  IF(L195&lt;31,"Adult", 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s="4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s="4" t="str">
        <f t="shared" si="3"/>
        <v>Adult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s="4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s="4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s="4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s="4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s="4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s="4" t="str">
        <f t="shared" si="3"/>
        <v>Adult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s="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s="4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s="4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s="4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s="4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s="4" t="str">
        <f t="shared" si="3"/>
        <v>Adult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s="4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s="4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s="4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s="4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s="4" t="str">
        <f t="shared" si="3"/>
        <v>Adult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s="4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s="4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s="4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s="4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s="4" t="str">
        <f t="shared" si="3"/>
        <v>Adult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s="4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s="4" t="str">
        <f t="shared" si="3"/>
        <v>Adult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s="4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s="4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s="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s="4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s="4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s="4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s="4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s="4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s="4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s="4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s="4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s="4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s="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s="4" t="str">
        <f t="shared" si="3"/>
        <v>Adult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s="4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s="4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s="4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s="4" t="str">
        <f t="shared" si="3"/>
        <v>Adult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s="4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s="4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s="4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s="4" t="str">
        <f t="shared" si="3"/>
        <v>Adult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s="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s="4" t="str">
        <f t="shared" si="3"/>
        <v>Adult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s="4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s="4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s="4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s="4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s="4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s="4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s="4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s="4" t="str">
        <f t="shared" si="3"/>
        <v>Middle age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s="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s="4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s="4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s="4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s="4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s="4" t="str">
        <f t="shared" ref="M259:M322" si="4">IF(L259&gt;55,"Old",IF(L259 &gt;=31,"Middle age",  IF(L259&lt;31,"Adult", 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s="4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s="4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s="4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s="4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s="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s="4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s="4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s="4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s="4" t="str">
        <f t="shared" si="4"/>
        <v>Adult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s="4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s="4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s="4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s="4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s="4" t="str">
        <f t="shared" si="4"/>
        <v>Adult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s="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s="4" t="str">
        <f t="shared" si="4"/>
        <v>Adult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s="4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s="4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s="4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s="4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s="4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s="4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s="4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s="4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s="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s="4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s="4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s="4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s="4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s="4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s="4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s="4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s="4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s="4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s="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s="4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s="4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s="4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s="4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s="4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s="4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s="4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s="4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s="4" t="str">
        <f t="shared" si="4"/>
        <v>Adult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s="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s="4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s="4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s="4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s="4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s="4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s="4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s="4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s="4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s="4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s="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s="4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s="4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s="4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s="4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s="4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s="4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s="4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s="4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s="4" t="str">
        <f t="shared" ref="M323:M386" si="5">IF(L323&gt;55,"Old",IF(L323 &gt;=31,"Middle age",  IF(L323&lt;31,"Adult", 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s="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s="4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s="4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s="4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s="4" t="str">
        <f t="shared" si="5"/>
        <v>Adult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s="4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s="4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s="4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s="4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s="4" t="str">
        <f t="shared" si="5"/>
        <v>Adult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s="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s="4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s="4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s="4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s="4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s="4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s="4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s="4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s="4" t="str">
        <f t="shared" si="5"/>
        <v>Adult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s="4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s="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s="4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s="4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s="4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s="4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s="4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s="4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s="4" t="str">
        <f t="shared" si="5"/>
        <v>Adult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s="4" t="str">
        <f t="shared" si="5"/>
        <v>Adult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s="4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s="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s="4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s="4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s="4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s="4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s="4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s="4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s="4" t="str">
        <f t="shared" si="5"/>
        <v>Adult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s="4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s="4" t="str">
        <f t="shared" si="5"/>
        <v>Adult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s="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s="4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s="4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s="4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s="4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s="4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s="4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s="4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s="4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s="4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s="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s="4" t="str">
        <f t="shared" si="5"/>
        <v>Adult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s="4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s="4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s="4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s="4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s="4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s="4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s="4" t="str">
        <f t="shared" si="5"/>
        <v>Adult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s="4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s="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s="4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s="4" t="str">
        <f t="shared" si="5"/>
        <v>Adult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s="4" t="str">
        <f t="shared" ref="M387:M450" si="6">IF(L387&gt;55,"Old",IF(L387 &gt;=31,"Middle age",  IF(L387&lt;31,"Adult", 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s="4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s="4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s="4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s="4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s="4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s="4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s="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s="4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s="4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s="4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s="4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s="4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s="4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s="4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s="4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s="4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s="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s="4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s="4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s="4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s="4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s="4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s="4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s="4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s="4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s="4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s="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s="4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s="4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s="4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s="4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s="4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s="4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s="4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s="4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s="4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s="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s="4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s="4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s="4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s="4" t="str">
        <f t="shared" si="6"/>
        <v>Adult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s="4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s="4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s="4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s="4" t="str">
        <f t="shared" si="6"/>
        <v>Middle age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s="4" t="str">
        <f t="shared" si="6"/>
        <v>Adult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s="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s="4" t="str">
        <f t="shared" si="6"/>
        <v>Adult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s="4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s="4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s="4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s="4" t="str">
        <f t="shared" si="6"/>
        <v>Adult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s="4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s="4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s="4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s="4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s="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s="4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s="4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s="4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s="4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s="4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s="4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s="4" t="str">
        <f t="shared" ref="M451:M514" si="7">IF(L451&gt;55,"Old",IF(L451 &gt;=31,"Middle age",  IF(L451&lt;31,"Adult", 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s="4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s="4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s="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s="4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s="4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s="4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s="4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s="4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s="4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s="4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s="4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s="4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s="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s="4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s="4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s="4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s="4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s="4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s="4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s="4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s="4" t="str">
        <f t="shared" si="7"/>
        <v>Adult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s="4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s="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s="4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s="4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s="4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s="4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s="4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s="4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s="4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s="4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s="4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s="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s="4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s="4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s="4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s="4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s="4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s="4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s="4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s="4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s="4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s="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s="4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s="4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s="4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s="4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s="4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s="4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s="4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s="4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s="4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s="4" t="str">
        <f t="shared" si="7"/>
        <v>Adult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s="4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s="4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s="4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s="4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s="4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s="4" t="str">
        <f t="shared" si="7"/>
        <v>Adult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s="4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s="4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s="4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s="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s="4" t="str">
        <f t="shared" ref="M515:M578" si="8">IF(L515&gt;55,"Old",IF(L515 &gt;=31,"Middle age",  IF(L515&lt;31,"Adult", 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s="4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s="4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s="4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s="4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s="4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s="4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s="4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s="4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s="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s="4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s="4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s="4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s="4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s="4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s="4" t="str">
        <f t="shared" si="8"/>
        <v>Adult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s="4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s="4" t="str">
        <f t="shared" si="8"/>
        <v>Adult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s="4" t="str">
        <f t="shared" si="8"/>
        <v>Adult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s="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s="4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s="4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s="4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s="4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s="4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s="4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s="4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s="4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s="4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s="4" t="str">
        <f t="shared" si="8"/>
        <v>Adult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s="4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s="4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s="4" t="str">
        <f t="shared" si="8"/>
        <v>Adult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s="4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s="4" t="str">
        <f t="shared" si="8"/>
        <v>Middle age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s="4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s="4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s="4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s="4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s="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s="4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s="4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s="4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s="4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s="4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s="4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s="4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s="4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s="4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s="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s="4" t="str">
        <f t="shared" si="8"/>
        <v>Adult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s="4" t="str">
        <f t="shared" si="8"/>
        <v>Adult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s="4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s="4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s="4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s="4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s="4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s="4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s="4" t="str">
        <f t="shared" si="8"/>
        <v>Middle age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s="4" t="str">
        <f t="shared" si="8"/>
        <v>Adult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s="4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s="4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s="4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s="4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s="4" t="str">
        <f t="shared" ref="M579:M642" si="9">IF(L579&gt;55,"Old",IF(L579 &gt;=31,"Middle age",  IF(L579&lt;31,"Adult", 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s="4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s="4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s="4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s="4" t="str">
        <f t="shared" si="9"/>
        <v>Adult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s="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s="4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s="4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s="4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s="4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s="4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s="4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s="4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s="4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s="4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s="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s="4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s="4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s="4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s="4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s="4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s="4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s="4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s="4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s="4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s="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s="4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s="4" t="str">
        <f t="shared" si="9"/>
        <v>Adult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s="4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s="4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s="4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s="4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s="4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s="4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s="4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s="4" t="str">
        <f t="shared" si="9"/>
        <v>Adult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s="4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s="4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s="4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s="4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s="4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s="4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s="4" t="str">
        <f t="shared" si="9"/>
        <v>Adult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s="4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s="4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s="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s="4" t="str">
        <f t="shared" si="9"/>
        <v>Middle age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s="4" t="str">
        <f t="shared" si="9"/>
        <v>Adult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s="4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s="4" t="str">
        <f t="shared" si="9"/>
        <v>Adult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s="4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s="4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s="4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s="4" t="str">
        <f t="shared" si="9"/>
        <v>Adult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s="4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s="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s="4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s="4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s="4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s="4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s="4" t="str">
        <f t="shared" si="9"/>
        <v>Adult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s="4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s="4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s="4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s="4" t="str">
        <f t="shared" ref="M643:M706" si="10">IF(L643&gt;55,"Old",IF(L643 &gt;=31,"Middle age",  IF(L643&lt;31,"Adult", 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s="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s="4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s="4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s="4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s="4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s="4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s="4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s="4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s="4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s="4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s="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s="4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s="4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s="4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s="4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s="4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s="4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s="4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s="4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s="4" t="str">
        <f t="shared" si="10"/>
        <v>Adult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s="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s="4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s="4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s="4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s="4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s="4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s="4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s="4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s="4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s="4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s="4" t="str">
        <f t="shared" si="10"/>
        <v>Adult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s="4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s="4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s="4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s="4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s="4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s="4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s="4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s="4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s="4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s="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s="4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s="4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s="4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s="4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s="4" t="str">
        <f t="shared" si="10"/>
        <v>Adult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s="4" t="str">
        <f t="shared" si="10"/>
        <v>Adult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s="4" t="str">
        <f t="shared" si="10"/>
        <v>Adult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s="4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s="4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s="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s="4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s="4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s="4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s="4" t="str">
        <f t="shared" si="10"/>
        <v>Adult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s="4" t="str">
        <f t="shared" si="10"/>
        <v>Adult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s="4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s="4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s="4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s="4" t="str">
        <f t="shared" si="10"/>
        <v>Adult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s="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s="4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s="4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s="4" t="str">
        <f t="shared" ref="M707:M770" si="11">IF(L707&gt;55,"Old",IF(L707 &gt;=31,"Middle age",  IF(L707&lt;31,"Adult", 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s="4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s="4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s="4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s="4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s="4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s="4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s="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s="4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s="4" t="str">
        <f t="shared" si="11"/>
        <v>Adult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s="4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s="4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s="4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s="4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s="4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s="4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s="4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s="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s="4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s="4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s="4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s="4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s="4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s="4" t="str">
        <f t="shared" si="11"/>
        <v>Adult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s="4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s="4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s="4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s="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s="4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s="4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s="4" t="str">
        <f t="shared" si="11"/>
        <v>Adult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s="4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s="4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s="4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s="4" t="str">
        <f t="shared" si="11"/>
        <v>Middle age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s="4" t="str">
        <f t="shared" si="11"/>
        <v>Adult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s="4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s="4" t="str">
        <f t="shared" si="11"/>
        <v>Adult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s="4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s="4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s="4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s="4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s="4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s="4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s="4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s="4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s="4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s="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s="4" t="str">
        <f t="shared" si="11"/>
        <v>Adult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s="4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s="4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s="4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s="4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s="4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s="4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s="4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s="4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s="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s="4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s="4" t="str">
        <f t="shared" si="11"/>
        <v>Adult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s="4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s="4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s="4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s="4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s="4" t="str">
        <f t="shared" ref="M771:M834" si="12">IF(L771&gt;55,"Old",IF(L771 &gt;=31,"Middle age",  IF(L771&lt;31,"Adult", 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s="4" t="str">
        <f t="shared" si="12"/>
        <v>Middle age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s="4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s="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s="4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s="4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s="4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s="4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s="4" t="str">
        <f t="shared" si="12"/>
        <v>Adult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s="4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s="4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s="4" t="str">
        <f t="shared" si="12"/>
        <v>Middle age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s="4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s="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s="4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s="4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s="4" t="str">
        <f t="shared" si="12"/>
        <v>Adult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s="4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s="4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s="4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s="4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s="4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s="4" t="str">
        <f t="shared" si="12"/>
        <v>Adult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s="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s="4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s="4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s="4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s="4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s="4" t="str">
        <f t="shared" si="12"/>
        <v>Adult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s="4" t="str">
        <f t="shared" si="12"/>
        <v>Adult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s="4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s="4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s="4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s="4" t="str">
        <f t="shared" si="12"/>
        <v>Adult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s="4" t="str">
        <f t="shared" si="12"/>
        <v>Adult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s="4" t="str">
        <f t="shared" si="12"/>
        <v>Adult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s="4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s="4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s="4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s="4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s="4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s="4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s="4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s="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s="4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s="4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s="4" t="str">
        <f t="shared" si="12"/>
        <v>Adult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s="4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s="4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s="4" t="str">
        <f t="shared" si="12"/>
        <v>Adult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s="4" t="str">
        <f t="shared" si="12"/>
        <v>Adult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s="4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s="4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s="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s="4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s="4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s="4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s="4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s="4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s="4" t="str">
        <f t="shared" si="12"/>
        <v>Adult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s="4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s="4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s="4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s="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s="4" t="str">
        <f t="shared" ref="M835:M898" si="13">IF(L835&gt;55,"Old",IF(L835 &gt;=31,"Middle age",  IF(L835&lt;31,"Adult", 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s="4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s="4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s="4" t="str">
        <f t="shared" si="13"/>
        <v>Adult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s="4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s="4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s="4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s="4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s="4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s="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s="4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s="4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s="4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s="4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s="4" t="str">
        <f t="shared" si="13"/>
        <v>Adult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s="4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s="4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s="4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s="4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s="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s="4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s="4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s="4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s="4" t="str">
        <f t="shared" si="13"/>
        <v>Adult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s="4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s="4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s="4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s="4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s="4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s="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s="4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s="4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s="4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s="4" t="str">
        <f t="shared" si="13"/>
        <v>Middle age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s="4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s="4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s="4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s="4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s="4" t="str">
        <f t="shared" si="13"/>
        <v>Middle age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s="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s="4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s="4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s="4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s="4" t="str">
        <f t="shared" si="13"/>
        <v>Adult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s="4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s="4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s="4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s="4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s="4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s="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s="4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s="4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s="4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s="4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s="4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s="4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s="4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s="4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s="4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s="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s="4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s="4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s="4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s="4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s="4" t="str">
        <f t="shared" ref="M899:M962" si="14">IF(L899&gt;55,"Old",IF(L899 &gt;=31,"Middle age",  IF(L899&lt;31,"Adult", "Invalid")))</f>
        <v>Adult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s="4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s="4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s="4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s="4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s="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s="4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s="4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s="4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s="4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s="4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s="4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s="4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s="4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s="4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s="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s="4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s="4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s="4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s="4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s="4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s="4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s="4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s="4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s="4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s="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s="4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s="4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s="4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s="4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s="4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s="4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s="4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s="4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s="4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s="4" t="str">
        <f t="shared" si="14"/>
        <v>Adult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s="4" t="str">
        <f t="shared" si="14"/>
        <v>Adult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s="4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s="4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s="4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s="4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s="4" t="str">
        <f t="shared" si="14"/>
        <v>Adult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s="4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s="4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s="4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s="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s="4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s="4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s="4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s="4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s="4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s="4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s="4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s="4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s="4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s="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s="4" t="str">
        <f t="shared" si="14"/>
        <v>Adult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s="4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s="4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s="4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s="4" t="str">
        <f t="shared" si="14"/>
        <v>Adult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s="4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s="4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s="4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s="4" t="str">
        <f t="shared" ref="M963:M1001" si="15">IF(L963&gt;55,"Old",IF(L963 &gt;=31,"Middle age",  IF(L963&lt;31,"Adult", 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s="4" t="str">
        <f t="shared" si="15"/>
        <v>Middle age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s="4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s="4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s="4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s="4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s="4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s="4" t="str">
        <f t="shared" si="15"/>
        <v>Adult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s="4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s="4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s="4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s="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s="4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s="4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s="4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s="4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s="4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s="4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s="4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s="4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s="4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s="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s="4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s="4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s="4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s="4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s="4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s="4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s="4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s="4" t="str">
        <f t="shared" si="15"/>
        <v>Adult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s="4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s="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s="4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s="4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s="4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s="4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s="4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s="4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s="4" t="str">
        <f t="shared" si="15"/>
        <v>Middle age</v>
      </c>
      <c r="N1001" t="s">
        <v>15</v>
      </c>
    </row>
  </sheetData>
  <autoFilter ref="A1:N1001" xr:uid="{8BB18516-2608-4CD1-A299-6CAA85765975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94E1-2756-47D7-B4E1-6F469AFCD0E2}">
  <dimension ref="A3:D118"/>
  <sheetViews>
    <sheetView zoomScale="94" zoomScaleNormal="70" workbookViewId="0">
      <selection activeCell="B11" sqref="B11"/>
    </sheetView>
  </sheetViews>
  <sheetFormatPr baseColWidth="10" defaultRowHeight="14.4" x14ac:dyDescent="0.3"/>
  <cols>
    <col min="1" max="1" width="23.88671875" bestFit="1" customWidth="1"/>
    <col min="2" max="2" width="22.44140625" bestFit="1" customWidth="1"/>
    <col min="3" max="4" width="12.44140625" bestFit="1" customWidth="1"/>
    <col min="5" max="5" width="8.5546875" bestFit="1" customWidth="1"/>
    <col min="6" max="6" width="9.5546875" bestFit="1" customWidth="1"/>
    <col min="7" max="7" width="11.88671875" bestFit="1" customWidth="1"/>
  </cols>
  <sheetData>
    <row r="3" spans="1:4" x14ac:dyDescent="0.3">
      <c r="A3" s="6" t="s">
        <v>44</v>
      </c>
      <c r="B3" s="6" t="s">
        <v>43</v>
      </c>
    </row>
    <row r="4" spans="1:4" x14ac:dyDescent="0.3">
      <c r="A4" s="6" t="s">
        <v>41</v>
      </c>
      <c r="B4" t="s">
        <v>18</v>
      </c>
      <c r="C4" t="s">
        <v>15</v>
      </c>
      <c r="D4" t="s">
        <v>42</v>
      </c>
    </row>
    <row r="5" spans="1:4" x14ac:dyDescent="0.3">
      <c r="A5" s="7" t="s">
        <v>39</v>
      </c>
      <c r="B5" s="8">
        <v>53440</v>
      </c>
      <c r="C5" s="8">
        <v>55774.058577405856</v>
      </c>
      <c r="D5" s="8">
        <v>54580.777096114522</v>
      </c>
    </row>
    <row r="6" spans="1:4" x14ac:dyDescent="0.3">
      <c r="A6" s="7" t="s">
        <v>38</v>
      </c>
      <c r="B6" s="8">
        <v>56208.178438661707</v>
      </c>
      <c r="C6" s="8">
        <v>60123.966942148763</v>
      </c>
      <c r="D6" s="8">
        <v>58062.62230919765</v>
      </c>
    </row>
    <row r="7" spans="1:4" x14ac:dyDescent="0.3">
      <c r="A7" s="7" t="s">
        <v>42</v>
      </c>
      <c r="B7" s="8">
        <v>54874.759152215796</v>
      </c>
      <c r="C7" s="8">
        <v>57962.577962577961</v>
      </c>
      <c r="D7" s="8">
        <v>56360</v>
      </c>
    </row>
    <row r="23" spans="1:4" x14ac:dyDescent="0.3">
      <c r="A23" s="6" t="s">
        <v>45</v>
      </c>
      <c r="B23" s="6" t="s">
        <v>43</v>
      </c>
    </row>
    <row r="24" spans="1:4" x14ac:dyDescent="0.3">
      <c r="A24" s="6" t="s">
        <v>41</v>
      </c>
      <c r="B24" t="s">
        <v>18</v>
      </c>
      <c r="C24" t="s">
        <v>15</v>
      </c>
      <c r="D24" t="s">
        <v>42</v>
      </c>
    </row>
    <row r="25" spans="1:4" x14ac:dyDescent="0.3">
      <c r="A25" s="7" t="s">
        <v>16</v>
      </c>
      <c r="B25" s="5">
        <v>166</v>
      </c>
      <c r="C25" s="5">
        <v>200</v>
      </c>
      <c r="D25" s="5">
        <v>366</v>
      </c>
    </row>
    <row r="26" spans="1:4" x14ac:dyDescent="0.3">
      <c r="A26" s="7" t="s">
        <v>26</v>
      </c>
      <c r="B26" s="5">
        <v>92</v>
      </c>
      <c r="C26" s="5">
        <v>77</v>
      </c>
      <c r="D26" s="5">
        <v>169</v>
      </c>
    </row>
    <row r="27" spans="1:4" x14ac:dyDescent="0.3">
      <c r="A27" s="7" t="s">
        <v>22</v>
      </c>
      <c r="B27" s="5">
        <v>67</v>
      </c>
      <c r="C27" s="5">
        <v>95</v>
      </c>
      <c r="D27" s="5">
        <v>162</v>
      </c>
    </row>
    <row r="28" spans="1:4" x14ac:dyDescent="0.3">
      <c r="A28" s="7" t="s">
        <v>23</v>
      </c>
      <c r="B28" s="5">
        <v>116</v>
      </c>
      <c r="C28" s="5">
        <v>76</v>
      </c>
      <c r="D28" s="5">
        <v>192</v>
      </c>
    </row>
    <row r="29" spans="1:4" x14ac:dyDescent="0.3">
      <c r="A29" s="7" t="s">
        <v>46</v>
      </c>
      <c r="B29" s="5">
        <v>78</v>
      </c>
      <c r="C29" s="5">
        <v>33</v>
      </c>
      <c r="D29" s="5">
        <v>111</v>
      </c>
    </row>
    <row r="30" spans="1:4" x14ac:dyDescent="0.3">
      <c r="A30" s="7" t="s">
        <v>42</v>
      </c>
      <c r="B30" s="5">
        <v>519</v>
      </c>
      <c r="C30" s="5">
        <v>481</v>
      </c>
      <c r="D30" s="5">
        <v>1000</v>
      </c>
    </row>
    <row r="42" spans="1:4" x14ac:dyDescent="0.3">
      <c r="A42" s="6" t="s">
        <v>45</v>
      </c>
      <c r="B42" s="6" t="s">
        <v>43</v>
      </c>
    </row>
    <row r="43" spans="1:4" x14ac:dyDescent="0.3">
      <c r="A43" s="6" t="s">
        <v>41</v>
      </c>
      <c r="B43" t="s">
        <v>18</v>
      </c>
      <c r="C43" t="s">
        <v>15</v>
      </c>
      <c r="D43" t="s">
        <v>42</v>
      </c>
    </row>
    <row r="44" spans="1:4" x14ac:dyDescent="0.3">
      <c r="A44" s="7" t="s">
        <v>47</v>
      </c>
      <c r="B44" s="5">
        <v>71</v>
      </c>
      <c r="C44" s="5">
        <v>39</v>
      </c>
      <c r="D44" s="5">
        <v>110</v>
      </c>
    </row>
    <row r="45" spans="1:4" x14ac:dyDescent="0.3">
      <c r="A45" s="7" t="s">
        <v>48</v>
      </c>
      <c r="B45" s="5">
        <v>331</v>
      </c>
      <c r="C45" s="5">
        <v>388</v>
      </c>
      <c r="D45" s="5">
        <v>719</v>
      </c>
    </row>
    <row r="46" spans="1:4" x14ac:dyDescent="0.3">
      <c r="A46" s="7" t="s">
        <v>49</v>
      </c>
      <c r="B46" s="5">
        <v>117</v>
      </c>
      <c r="C46" s="5">
        <v>54</v>
      </c>
      <c r="D46" s="5">
        <v>171</v>
      </c>
    </row>
    <row r="47" spans="1:4" x14ac:dyDescent="0.3">
      <c r="A47" s="7" t="s">
        <v>42</v>
      </c>
      <c r="B47" s="5">
        <v>519</v>
      </c>
      <c r="C47" s="5">
        <v>481</v>
      </c>
      <c r="D47" s="5">
        <v>1000</v>
      </c>
    </row>
    <row r="63" spans="1:4" x14ac:dyDescent="0.3">
      <c r="A63" s="6" t="s">
        <v>45</v>
      </c>
      <c r="B63" s="6" t="s">
        <v>43</v>
      </c>
    </row>
    <row r="64" spans="1:4" x14ac:dyDescent="0.3">
      <c r="A64" s="6" t="s">
        <v>41</v>
      </c>
      <c r="B64" t="s">
        <v>18</v>
      </c>
      <c r="C64" t="s">
        <v>15</v>
      </c>
      <c r="D64" t="s">
        <v>42</v>
      </c>
    </row>
    <row r="65" spans="1:4" x14ac:dyDescent="0.3">
      <c r="A65" s="7">
        <v>25</v>
      </c>
      <c r="B65" s="5">
        <v>2</v>
      </c>
      <c r="C65" s="5">
        <v>4</v>
      </c>
      <c r="D65" s="5">
        <v>6</v>
      </c>
    </row>
    <row r="66" spans="1:4" x14ac:dyDescent="0.3">
      <c r="A66" s="7">
        <v>26</v>
      </c>
      <c r="B66" s="5">
        <v>8</v>
      </c>
      <c r="C66" s="5">
        <v>8</v>
      </c>
      <c r="D66" s="5">
        <v>16</v>
      </c>
    </row>
    <row r="67" spans="1:4" x14ac:dyDescent="0.3">
      <c r="A67" s="7">
        <v>27</v>
      </c>
      <c r="B67" s="5">
        <v>15</v>
      </c>
      <c r="C67" s="5">
        <v>8</v>
      </c>
      <c r="D67" s="5">
        <v>23</v>
      </c>
    </row>
    <row r="68" spans="1:4" x14ac:dyDescent="0.3">
      <c r="A68" s="7">
        <v>28</v>
      </c>
      <c r="B68" s="5">
        <v>12</v>
      </c>
      <c r="C68" s="5">
        <v>10</v>
      </c>
      <c r="D68" s="5">
        <v>22</v>
      </c>
    </row>
    <row r="69" spans="1:4" x14ac:dyDescent="0.3">
      <c r="A69" s="7">
        <v>29</v>
      </c>
      <c r="B69" s="5">
        <v>11</v>
      </c>
      <c r="C69" s="5">
        <v>5</v>
      </c>
      <c r="D69" s="5">
        <v>16</v>
      </c>
    </row>
    <row r="70" spans="1:4" x14ac:dyDescent="0.3">
      <c r="A70" s="7">
        <v>30</v>
      </c>
      <c r="B70" s="5">
        <v>23</v>
      </c>
      <c r="C70" s="5">
        <v>4</v>
      </c>
      <c r="D70" s="5">
        <v>27</v>
      </c>
    </row>
    <row r="71" spans="1:4" x14ac:dyDescent="0.3">
      <c r="A71" s="7">
        <v>31</v>
      </c>
      <c r="B71" s="5">
        <v>17</v>
      </c>
      <c r="C71" s="5">
        <v>8</v>
      </c>
      <c r="D71" s="5">
        <v>25</v>
      </c>
    </row>
    <row r="72" spans="1:4" x14ac:dyDescent="0.3">
      <c r="A72" s="7">
        <v>32</v>
      </c>
      <c r="B72" s="5">
        <v>19</v>
      </c>
      <c r="C72" s="5">
        <v>14</v>
      </c>
      <c r="D72" s="5">
        <v>33</v>
      </c>
    </row>
    <row r="73" spans="1:4" x14ac:dyDescent="0.3">
      <c r="A73" s="7">
        <v>33</v>
      </c>
      <c r="B73" s="5">
        <v>8</v>
      </c>
      <c r="C73" s="5">
        <v>13</v>
      </c>
      <c r="D73" s="5">
        <v>21</v>
      </c>
    </row>
    <row r="74" spans="1:4" x14ac:dyDescent="0.3">
      <c r="A74" s="7">
        <v>34</v>
      </c>
      <c r="B74" s="5">
        <v>12</v>
      </c>
      <c r="C74" s="5">
        <v>19</v>
      </c>
      <c r="D74" s="5">
        <v>31</v>
      </c>
    </row>
    <row r="75" spans="1:4" x14ac:dyDescent="0.3">
      <c r="A75" s="7">
        <v>35</v>
      </c>
      <c r="B75" s="5">
        <v>14</v>
      </c>
      <c r="C75" s="5">
        <v>22</v>
      </c>
      <c r="D75" s="5">
        <v>36</v>
      </c>
    </row>
    <row r="76" spans="1:4" x14ac:dyDescent="0.3">
      <c r="A76" s="7">
        <v>36</v>
      </c>
      <c r="B76" s="5">
        <v>7</v>
      </c>
      <c r="C76" s="5">
        <v>30</v>
      </c>
      <c r="D76" s="5">
        <v>37</v>
      </c>
    </row>
    <row r="77" spans="1:4" x14ac:dyDescent="0.3">
      <c r="A77" s="7">
        <v>37</v>
      </c>
      <c r="B77" s="5">
        <v>4</v>
      </c>
      <c r="C77" s="5">
        <v>28</v>
      </c>
      <c r="D77" s="5">
        <v>32</v>
      </c>
    </row>
    <row r="78" spans="1:4" x14ac:dyDescent="0.3">
      <c r="A78" s="7">
        <v>38</v>
      </c>
      <c r="B78" s="5">
        <v>8</v>
      </c>
      <c r="C78" s="5">
        <v>29</v>
      </c>
      <c r="D78" s="5">
        <v>37</v>
      </c>
    </row>
    <row r="79" spans="1:4" x14ac:dyDescent="0.3">
      <c r="A79" s="7">
        <v>39</v>
      </c>
      <c r="B79" s="5">
        <v>10</v>
      </c>
      <c r="C79" s="5">
        <v>12</v>
      </c>
      <c r="D79" s="5">
        <v>22</v>
      </c>
    </row>
    <row r="80" spans="1:4" x14ac:dyDescent="0.3">
      <c r="A80" s="7">
        <v>40</v>
      </c>
      <c r="B80" s="5">
        <v>24</v>
      </c>
      <c r="C80" s="5">
        <v>18</v>
      </c>
      <c r="D80" s="5">
        <v>42</v>
      </c>
    </row>
    <row r="81" spans="1:4" x14ac:dyDescent="0.3">
      <c r="A81" s="7">
        <v>41</v>
      </c>
      <c r="B81" s="5">
        <v>13</v>
      </c>
      <c r="C81" s="5">
        <v>15</v>
      </c>
      <c r="D81" s="5">
        <v>28</v>
      </c>
    </row>
    <row r="82" spans="1:4" x14ac:dyDescent="0.3">
      <c r="A82" s="7">
        <v>42</v>
      </c>
      <c r="B82" s="5">
        <v>22</v>
      </c>
      <c r="C82" s="5">
        <v>12</v>
      </c>
      <c r="D82" s="5">
        <v>34</v>
      </c>
    </row>
    <row r="83" spans="1:4" x14ac:dyDescent="0.3">
      <c r="A83" s="7">
        <v>43</v>
      </c>
      <c r="B83" s="5">
        <v>17</v>
      </c>
      <c r="C83" s="5">
        <v>19</v>
      </c>
      <c r="D83" s="5">
        <v>36</v>
      </c>
    </row>
    <row r="84" spans="1:4" x14ac:dyDescent="0.3">
      <c r="A84" s="7">
        <v>44</v>
      </c>
      <c r="B84" s="5">
        <v>15</v>
      </c>
      <c r="C84" s="5">
        <v>12</v>
      </c>
      <c r="D84" s="5">
        <v>27</v>
      </c>
    </row>
    <row r="85" spans="1:4" x14ac:dyDescent="0.3">
      <c r="A85" s="7">
        <v>45</v>
      </c>
      <c r="B85" s="5">
        <v>18</v>
      </c>
      <c r="C85" s="5">
        <v>13</v>
      </c>
      <c r="D85" s="5">
        <v>31</v>
      </c>
    </row>
    <row r="86" spans="1:4" x14ac:dyDescent="0.3">
      <c r="A86" s="7">
        <v>46</v>
      </c>
      <c r="B86" s="5">
        <v>12</v>
      </c>
      <c r="C86" s="5">
        <v>15</v>
      </c>
      <c r="D86" s="5">
        <v>27</v>
      </c>
    </row>
    <row r="87" spans="1:4" x14ac:dyDescent="0.3">
      <c r="A87" s="7">
        <v>47</v>
      </c>
      <c r="B87" s="5">
        <v>19</v>
      </c>
      <c r="C87" s="5">
        <v>20</v>
      </c>
      <c r="D87" s="5">
        <v>39</v>
      </c>
    </row>
    <row r="88" spans="1:4" x14ac:dyDescent="0.3">
      <c r="A88" s="7">
        <v>48</v>
      </c>
      <c r="B88" s="5">
        <v>16</v>
      </c>
      <c r="C88" s="5">
        <v>13</v>
      </c>
      <c r="D88" s="5">
        <v>29</v>
      </c>
    </row>
    <row r="89" spans="1:4" x14ac:dyDescent="0.3">
      <c r="A89" s="7">
        <v>49</v>
      </c>
      <c r="B89" s="5">
        <v>15</v>
      </c>
      <c r="C89" s="5">
        <v>8</v>
      </c>
      <c r="D89" s="5">
        <v>23</v>
      </c>
    </row>
    <row r="90" spans="1:4" x14ac:dyDescent="0.3">
      <c r="A90" s="7">
        <v>50</v>
      </c>
      <c r="B90" s="5">
        <v>12</v>
      </c>
      <c r="C90" s="5">
        <v>12</v>
      </c>
      <c r="D90" s="5">
        <v>24</v>
      </c>
    </row>
    <row r="91" spans="1:4" x14ac:dyDescent="0.3">
      <c r="A91" s="7">
        <v>51</v>
      </c>
      <c r="B91" s="5">
        <v>10</v>
      </c>
      <c r="C91" s="5">
        <v>12</v>
      </c>
      <c r="D91" s="5">
        <v>22</v>
      </c>
    </row>
    <row r="92" spans="1:4" x14ac:dyDescent="0.3">
      <c r="A92" s="7">
        <v>52</v>
      </c>
      <c r="B92" s="5">
        <v>10</v>
      </c>
      <c r="C92" s="5">
        <v>15</v>
      </c>
      <c r="D92" s="5">
        <v>25</v>
      </c>
    </row>
    <row r="93" spans="1:4" x14ac:dyDescent="0.3">
      <c r="A93" s="7">
        <v>53</v>
      </c>
      <c r="B93" s="5">
        <v>11</v>
      </c>
      <c r="C93" s="5">
        <v>13</v>
      </c>
      <c r="D93" s="5">
        <v>24</v>
      </c>
    </row>
    <row r="94" spans="1:4" x14ac:dyDescent="0.3">
      <c r="A94" s="7">
        <v>54</v>
      </c>
      <c r="B94" s="5">
        <v>5</v>
      </c>
      <c r="C94" s="5">
        <v>11</v>
      </c>
      <c r="D94" s="5">
        <v>16</v>
      </c>
    </row>
    <row r="95" spans="1:4" x14ac:dyDescent="0.3">
      <c r="A95" s="7">
        <v>55</v>
      </c>
      <c r="B95" s="5">
        <v>13</v>
      </c>
      <c r="C95" s="5">
        <v>5</v>
      </c>
      <c r="D95" s="5">
        <v>18</v>
      </c>
    </row>
    <row r="96" spans="1:4" x14ac:dyDescent="0.3">
      <c r="A96" s="7">
        <v>56</v>
      </c>
      <c r="B96" s="5">
        <v>13</v>
      </c>
      <c r="C96" s="5">
        <v>3</v>
      </c>
      <c r="D96" s="5">
        <v>16</v>
      </c>
    </row>
    <row r="97" spans="1:4" x14ac:dyDescent="0.3">
      <c r="A97" s="7">
        <v>57</v>
      </c>
      <c r="B97" s="5">
        <v>4</v>
      </c>
      <c r="C97" s="5">
        <v>4</v>
      </c>
      <c r="D97" s="5">
        <v>8</v>
      </c>
    </row>
    <row r="98" spans="1:4" x14ac:dyDescent="0.3">
      <c r="A98" s="7">
        <v>58</v>
      </c>
      <c r="B98" s="5">
        <v>8</v>
      </c>
      <c r="C98" s="5">
        <v>4</v>
      </c>
      <c r="D98" s="5">
        <v>12</v>
      </c>
    </row>
    <row r="99" spans="1:4" x14ac:dyDescent="0.3">
      <c r="A99" s="7">
        <v>59</v>
      </c>
      <c r="B99" s="5">
        <v>14</v>
      </c>
      <c r="C99" s="5">
        <v>6</v>
      </c>
      <c r="D99" s="5">
        <v>20</v>
      </c>
    </row>
    <row r="100" spans="1:4" x14ac:dyDescent="0.3">
      <c r="A100" s="7">
        <v>60</v>
      </c>
      <c r="B100" s="5">
        <v>8</v>
      </c>
      <c r="C100" s="5">
        <v>7</v>
      </c>
      <c r="D100" s="5">
        <v>15</v>
      </c>
    </row>
    <row r="101" spans="1:4" x14ac:dyDescent="0.3">
      <c r="A101" s="7">
        <v>61</v>
      </c>
      <c r="B101" s="5">
        <v>5</v>
      </c>
      <c r="C101" s="5">
        <v>4</v>
      </c>
      <c r="D101" s="5">
        <v>9</v>
      </c>
    </row>
    <row r="102" spans="1:4" x14ac:dyDescent="0.3">
      <c r="A102" s="7">
        <v>62</v>
      </c>
      <c r="B102" s="5">
        <v>9</v>
      </c>
      <c r="C102" s="5">
        <v>4</v>
      </c>
      <c r="D102" s="5">
        <v>13</v>
      </c>
    </row>
    <row r="103" spans="1:4" x14ac:dyDescent="0.3">
      <c r="A103" s="7">
        <v>63</v>
      </c>
      <c r="B103" s="5">
        <v>7</v>
      </c>
      <c r="C103" s="5">
        <v>2</v>
      </c>
      <c r="D103" s="5">
        <v>9</v>
      </c>
    </row>
    <row r="104" spans="1:4" x14ac:dyDescent="0.3">
      <c r="A104" s="7">
        <v>64</v>
      </c>
      <c r="B104" s="5">
        <v>7</v>
      </c>
      <c r="C104" s="5">
        <v>3</v>
      </c>
      <c r="D104" s="5">
        <v>10</v>
      </c>
    </row>
    <row r="105" spans="1:4" x14ac:dyDescent="0.3">
      <c r="A105" s="7">
        <v>65</v>
      </c>
      <c r="B105" s="5">
        <v>6</v>
      </c>
      <c r="C105" s="5">
        <v>3</v>
      </c>
      <c r="D105" s="5">
        <v>9</v>
      </c>
    </row>
    <row r="106" spans="1:4" x14ac:dyDescent="0.3">
      <c r="A106" s="7">
        <v>66</v>
      </c>
      <c r="B106" s="5">
        <v>8</v>
      </c>
      <c r="C106" s="5">
        <v>6</v>
      </c>
      <c r="D106" s="5">
        <v>14</v>
      </c>
    </row>
    <row r="107" spans="1:4" x14ac:dyDescent="0.3">
      <c r="A107" s="7">
        <v>67</v>
      </c>
      <c r="B107" s="5">
        <v>8</v>
      </c>
      <c r="C107" s="5">
        <v>2</v>
      </c>
      <c r="D107" s="5">
        <v>10</v>
      </c>
    </row>
    <row r="108" spans="1:4" x14ac:dyDescent="0.3">
      <c r="A108" s="7">
        <v>68</v>
      </c>
      <c r="B108" s="5">
        <v>3</v>
      </c>
      <c r="C108" s="5"/>
      <c r="D108" s="5">
        <v>3</v>
      </c>
    </row>
    <row r="109" spans="1:4" x14ac:dyDescent="0.3">
      <c r="A109" s="7">
        <v>69</v>
      </c>
      <c r="B109" s="5">
        <v>8</v>
      </c>
      <c r="C109" s="5"/>
      <c r="D109" s="5">
        <v>8</v>
      </c>
    </row>
    <row r="110" spans="1:4" x14ac:dyDescent="0.3">
      <c r="A110" s="7">
        <v>70</v>
      </c>
      <c r="B110" s="5">
        <v>3</v>
      </c>
      <c r="C110" s="5">
        <v>1</v>
      </c>
      <c r="D110" s="5">
        <v>4</v>
      </c>
    </row>
    <row r="111" spans="1:4" x14ac:dyDescent="0.3">
      <c r="A111" s="7">
        <v>71</v>
      </c>
      <c r="B111" s="5">
        <v>1</v>
      </c>
      <c r="C111" s="5"/>
      <c r="D111" s="5">
        <v>1</v>
      </c>
    </row>
    <row r="112" spans="1:4" x14ac:dyDescent="0.3">
      <c r="A112" s="7">
        <v>72</v>
      </c>
      <c r="B112" s="5"/>
      <c r="C112" s="5">
        <v>1</v>
      </c>
      <c r="D112" s="5">
        <v>1</v>
      </c>
    </row>
    <row r="113" spans="1:4" x14ac:dyDescent="0.3">
      <c r="A113" s="7">
        <v>73</v>
      </c>
      <c r="B113" s="5">
        <v>2</v>
      </c>
      <c r="C113" s="5">
        <v>2</v>
      </c>
      <c r="D113" s="5">
        <v>4</v>
      </c>
    </row>
    <row r="114" spans="1:4" x14ac:dyDescent="0.3">
      <c r="A114" s="7">
        <v>74</v>
      </c>
      <c r="B114" s="5"/>
      <c r="C114" s="5">
        <v>1</v>
      </c>
      <c r="D114" s="5">
        <v>1</v>
      </c>
    </row>
    <row r="115" spans="1:4" x14ac:dyDescent="0.3">
      <c r="A115" s="7">
        <v>78</v>
      </c>
      <c r="B115" s="5">
        <v>1</v>
      </c>
      <c r="C115" s="5">
        <v>1</v>
      </c>
      <c r="D115" s="5">
        <v>2</v>
      </c>
    </row>
    <row r="116" spans="1:4" x14ac:dyDescent="0.3">
      <c r="A116" s="7">
        <v>80</v>
      </c>
      <c r="B116" s="5">
        <v>1</v>
      </c>
      <c r="C116" s="5"/>
      <c r="D116" s="5">
        <v>1</v>
      </c>
    </row>
    <row r="117" spans="1:4" x14ac:dyDescent="0.3">
      <c r="A117" s="7">
        <v>89</v>
      </c>
      <c r="B117" s="5">
        <v>1</v>
      </c>
      <c r="C117" s="5"/>
      <c r="D117" s="5">
        <v>1</v>
      </c>
    </row>
    <row r="118" spans="1:4" x14ac:dyDescent="0.3">
      <c r="A118" s="7" t="s">
        <v>42</v>
      </c>
      <c r="B118" s="5">
        <v>519</v>
      </c>
      <c r="C118" s="5">
        <v>481</v>
      </c>
      <c r="D118" s="5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8891-F564-4624-9850-02A6BF3A26C7}">
  <dimension ref="A1:L6"/>
  <sheetViews>
    <sheetView showGridLines="0" tabSelected="1" topLeftCell="B6" zoomScale="93" workbookViewId="0">
      <selection activeCell="N10" sqref="N10"/>
    </sheetView>
  </sheetViews>
  <sheetFormatPr baseColWidth="10" defaultRowHeight="14.4" x14ac:dyDescent="0.3"/>
  <sheetData>
    <row r="1" spans="1:12" x14ac:dyDescent="0.3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9"/>
      <c r="L1" s="9"/>
    </row>
    <row r="2" spans="1:12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9"/>
      <c r="L2" s="9"/>
    </row>
    <row r="3" spans="1:12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9"/>
      <c r="L3" s="9"/>
    </row>
    <row r="4" spans="1:1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9"/>
      <c r="L4" s="9"/>
    </row>
    <row r="5" spans="1:12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9"/>
      <c r="L5" s="9"/>
    </row>
    <row r="6" spans="1:1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9"/>
      <c r="L6" s="9"/>
    </row>
  </sheetData>
  <mergeCells count="1">
    <mergeCell ref="A1:J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 ROUG</cp:lastModifiedBy>
  <dcterms:created xsi:type="dcterms:W3CDTF">2022-03-18T02:50:57Z</dcterms:created>
  <dcterms:modified xsi:type="dcterms:W3CDTF">2026-03-14T14:38:10Z</dcterms:modified>
</cp:coreProperties>
</file>